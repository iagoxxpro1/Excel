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f\OneDrive\Área de Trabalho\Iago\"/>
    </mc:Choice>
  </mc:AlternateContent>
  <xr:revisionPtr revIDLastSave="0" documentId="13_ncr:1_{CE4B8CC3-2E79-4518-839B-4857421887AB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Resumo" sheetId="1" r:id="rId1"/>
    <sheet name="tbl_auxiliar" sheetId="2" r:id="rId2"/>
  </sheets>
  <definedNames>
    <definedName name="aporte">Resumo!$D$17</definedName>
    <definedName name="patrimonio">Resumo!$D$20</definedName>
    <definedName name="qtd_anos">Resumo!$D$18</definedName>
    <definedName name="rendimento_carteira">Resumo!$D$13</definedName>
    <definedName name="salario">Resumo!$D$12</definedName>
    <definedName name="sugestao_investimento">Resumo!$D$14</definedName>
    <definedName name="taxa_mensal">Resumo!$D$19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<sst xmlns="http://schemas.openxmlformats.org/spreadsheetml/2006/main" count="71" uniqueCount="34">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</sst>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4</xdr:col>
      <xdr:colOff>63086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3" zoomScale="80" zoomScaleNormal="80" workbookViewId="0">
      <selection activeCell="D23" sqref="D23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8.140625" bestFit="1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2800</v>
      </c>
    </row>
    <row r="13" spans="2:4" ht="17.25" x14ac:dyDescent="0.3">
      <c r="B13" s="45" t="s">
        <v>13</v>
      </c>
      <c r="C13" s="46"/>
      <c r="D13" s="24">
        <v>0.01</v>
      </c>
    </row>
    <row r="14" spans="2:4" ht="18" thickBot="1" x14ac:dyDescent="0.35">
      <c r="B14" s="52" t="s">
        <v>33</v>
      </c>
      <c r="C14" s="53"/>
      <c r="D14" s="25">
        <f>D12*10%</f>
        <v>280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900</v>
      </c>
    </row>
    <row r="18" spans="1:6" ht="17.25" x14ac:dyDescent="0.3">
      <c r="B18" s="45" t="s">
        <v>1</v>
      </c>
      <c r="C18" s="46"/>
      <c r="D18" s="19">
        <v>20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1012678.5600873725</v>
      </c>
    </row>
    <row r="21" spans="1:6" ht="18" thickBot="1" x14ac:dyDescent="0.35">
      <c r="B21" s="47" t="s">
        <v>4</v>
      </c>
      <c r="C21" s="48"/>
      <c r="D21" s="22">
        <f>patrimonio*rendimento_carteira</f>
        <v>10126.785600873725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24504.864567880697</v>
      </c>
      <c r="D24" s="11">
        <f>C24*rendimento_carteira</f>
        <v>245.04864567880696</v>
      </c>
    </row>
    <row r="25" spans="1:6" ht="17.25" x14ac:dyDescent="0.3">
      <c r="A25" s="1">
        <v>5</v>
      </c>
      <c r="B25" s="12" t="s">
        <v>7</v>
      </c>
      <c r="C25" s="13">
        <f>FV($D$19,$A25*12,$D$17*-1)</f>
        <v>75399.22259863888</v>
      </c>
      <c r="D25" s="14">
        <f>C25*rendimento_carteira</f>
        <v>753.9922259863888</v>
      </c>
    </row>
    <row r="26" spans="1:6" ht="17.25" x14ac:dyDescent="0.3">
      <c r="A26" s="1">
        <v>10</v>
      </c>
      <c r="B26" s="12" t="s">
        <v>8</v>
      </c>
      <c r="C26" s="13">
        <f>FV($D$19,$A26*12,$D$17*-1)</f>
        <v>218955.79127715499</v>
      </c>
      <c r="D26" s="14">
        <f>C26*rendimento_carteira</f>
        <v>2189.55791277155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1012678.5600873725</v>
      </c>
      <c r="D27" s="14">
        <f>C27*rendimento_carteira</f>
        <v>10126.785600873725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3889952.689504243</v>
      </c>
      <c r="D28" s="17">
        <f>C28*rendimento_carteira</f>
        <v>38899.526895042429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v>100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VLOOKUP($C$32&amp;"-"&amp;B36,tbl_auxiliar!$A:$D,4,FALSE)</f>
        <v>0.32</v>
      </c>
      <c r="D36" s="33">
        <f>C36*$C$33</f>
        <v>32</v>
      </c>
    </row>
    <row r="37" spans="2:4" x14ac:dyDescent="0.25">
      <c r="B37" s="2" t="s">
        <v>25</v>
      </c>
      <c r="C37" s="4">
        <f>VLOOKUP($C$32&amp;"-"&amp;B37,tbl_auxiliar!$A:$D,4,FALSE)</f>
        <v>0.35</v>
      </c>
      <c r="D37" s="33">
        <f t="shared" ref="D37:D41" si="0">C37*$C$33</f>
        <v>35</v>
      </c>
    </row>
    <row r="38" spans="2:4" x14ac:dyDescent="0.25">
      <c r="B38" s="2" t="s">
        <v>26</v>
      </c>
      <c r="C38" s="4">
        <f>VLOOKUP($C$32&amp;"-"&amp;B38,tbl_auxiliar!$A:$D,4,FALSE)</f>
        <v>0.08</v>
      </c>
      <c r="D38" s="33">
        <f t="shared" si="0"/>
        <v>8</v>
      </c>
    </row>
    <row r="39" spans="2:4" x14ac:dyDescent="0.25">
      <c r="B39" s="2" t="s">
        <v>27</v>
      </c>
      <c r="C39" s="4">
        <f>VLOOKUP($C$32&amp;"-"&amp;B39,tbl_auxiliar!$A:$D,4,FALSE)</f>
        <v>0.05</v>
      </c>
      <c r="D39" s="33">
        <f t="shared" si="0"/>
        <v>5</v>
      </c>
    </row>
    <row r="40" spans="2:4" x14ac:dyDescent="0.25">
      <c r="B40" s="2" t="s">
        <v>28</v>
      </c>
      <c r="C40" s="4">
        <f>VLOOKUP($C$32&amp;"-"&amp;B40,tbl_auxiliar!$A:$D,4,FALSE)</f>
        <v>0.1</v>
      </c>
      <c r="D40" s="33">
        <f t="shared" si="0"/>
        <v>10</v>
      </c>
    </row>
    <row r="41" spans="2:4" x14ac:dyDescent="0.25">
      <c r="B41" s="2" t="s">
        <v>29</v>
      </c>
      <c r="C41" s="4">
        <f>VLOOKUP($C$32&amp;"-"&amp;B41,tbl_auxiliar!$A:$D,4,FALSE)</f>
        <v>0.1</v>
      </c>
      <c r="D41" s="33">
        <f t="shared" si="0"/>
        <v>10</v>
      </c>
    </row>
    <row r="42" spans="2:4" x14ac:dyDescent="0.25">
      <c r="B42" s="31"/>
      <c r="C42" s="31"/>
      <c r="D42" s="32">
        <f>SUM(D36:D41)</f>
        <v>100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disablePrompts="1"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90" zoomScaleNormal="90" workbookViewId="0">
      <selection activeCell="A5" sqref="A5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Resumo</vt:lpstr>
      <vt:lpstr>tbl_auxiliar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suellen ferreira</cp:lastModifiedBy>
  <dcterms:created xsi:type="dcterms:W3CDTF">2025-04-16T18:38:03Z</dcterms:created>
  <dcterms:modified xsi:type="dcterms:W3CDTF">2025-12-06T04:03:31Z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